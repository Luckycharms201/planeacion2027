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an/Downloads/"/>
    </mc:Choice>
  </mc:AlternateContent>
  <xr:revisionPtr revIDLastSave="0" documentId="8_{172D7A8C-2E1D-024C-9649-EDBD62D09B74}" xr6:coauthVersionLast="47" xr6:coauthVersionMax="47" xr10:uidLastSave="{00000000-0000-0000-0000-000000000000}"/>
  <bookViews>
    <workbookView xWindow="3980" yWindow="2780" windowWidth="28040" windowHeight="17180" xr2:uid="{4028BC51-134B-474F-8A1E-F5BB338264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F10" i="1"/>
  <c r="F9" i="1"/>
  <c r="F8" i="1"/>
  <c r="F7" i="1"/>
  <c r="F6" i="1"/>
  <c r="F5" i="1"/>
  <c r="F4" i="1"/>
  <c r="F3" i="1"/>
  <c r="D11" i="1"/>
  <c r="F11" i="1" s="1"/>
  <c r="C11" i="1"/>
  <c r="B11" i="1"/>
</calcChain>
</file>

<file path=xl/sharedStrings.xml><?xml version="1.0" encoding="utf-8"?>
<sst xmlns="http://schemas.openxmlformats.org/spreadsheetml/2006/main" count="15" uniqueCount="15">
  <si>
    <t>2024-25</t>
  </si>
  <si>
    <t>Voluntarios</t>
  </si>
  <si>
    <t>Registrados LDG</t>
  </si>
  <si>
    <t>LDG</t>
  </si>
  <si>
    <t>Registrados RAC</t>
  </si>
  <si>
    <t>Networking</t>
  </si>
  <si>
    <t>Vinculados Estrategicamente</t>
  </si>
  <si>
    <t>2025-26</t>
  </si>
  <si>
    <t>EXATEC Donando</t>
  </si>
  <si>
    <t>NPS</t>
  </si>
  <si>
    <t>TOTAL</t>
  </si>
  <si>
    <t>META</t>
  </si>
  <si>
    <t>% vs Ciclo Pasado</t>
  </si>
  <si>
    <t>% vs META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</si>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</sst>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[Red]\(0.0%\);\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0" fillId="0" borderId="0" xfId="0" applyNumberFormat="1"/>
    <xf numFmtId="164" fontId="0" fillId="0" borderId="0" xfId="1" applyNumberFormat="1" applyFont="1"/>
    <xf numFmtId="164" fontId="3" fillId="0" borderId="0" xfId="0" applyNumberFormat="1" applyFont="1"/>
    <xf numFmtId="164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0B6827-1A3C-D846-ACCB-CEE9083A6B2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9afefa1-cb8f-4d73-90dc-55715b6f22a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B82-258D-C646-BBCD-9A7E3DF5A0DE}">
  <dimension ref="A2:F11"/>
  <sheetViews>
    <sheetView tabSelected="1" zoomScale="125" workbookViewId="0">
      <selection activeCell="E15" sqref="E15"/>
    </sheetView>
  </sheetViews>
  <sheetFormatPr baseColWidth="10" defaultRowHeight="16" x14ac:dyDescent="0.2"/>
  <cols>
    <col min="1" max="1" width="27" customWidth="1"/>
    <col min="5" max="5" width="20.6640625" bestFit="1" customWidth="1"/>
    <col min="6" max="6" width="15.5" customWidth="1"/>
  </cols>
  <sheetData>
    <row r="2" spans="1:6" x14ac:dyDescent="0.2">
      <c r="B2" s="1" t="s">
        <v>0</v>
      </c>
      <c r="C2" s="1" t="s">
        <v>7</v>
      </c>
      <c r="D2" s="1" t="s">
        <v>11</v>
      </c>
      <c r="E2" s="1" t="s">
        <v>12</v>
      </c>
      <c r="F2" s="1" t="s">
        <v>13</v>
      </c>
    </row>
    <row r="3" spans="1:6" x14ac:dyDescent="0.2">
      <c r="A3" s="1" t="s">
        <v>1</v>
      </c>
      <c r="B3">
        <v>224</v>
      </c>
      <c r="C3">
        <v>380</v>
      </c>
      <c r="D3">
        <v>530</v>
      </c>
      <c r="E3" s="2">
        <f>IF(ISNUMBER(B3),C3/B3,"")</f>
        <v>1.6964285714285714</v>
      </c>
      <c r="F3" s="3">
        <f>IF(D3="","",C3/D3)</f>
        <v>0.71698113207547165</v>
      </c>
    </row>
    <row r="4" spans="1:6" x14ac:dyDescent="0.2">
      <c r="A4" s="1" t="s">
        <v>2</v>
      </c>
      <c r="B4">
        <v>238</v>
      </c>
      <c r="C4">
        <v>294</v>
      </c>
      <c r="D4">
        <v>265</v>
      </c>
      <c r="E4" s="2">
        <f t="shared" ref="E4:E11" si="0">IF(ISNUMBER(B4),C4/B4,"")</f>
        <v>1.2352941176470589</v>
      </c>
      <c r="F4" s="3">
        <f t="shared" ref="F4:F11" si="1">IF(D4="","",C4/D4)</f>
        <v>1.1094339622641509</v>
      </c>
    </row>
    <row r="5" spans="1:6" x14ac:dyDescent="0.2">
      <c r="A5" s="1" t="s">
        <v>3</v>
      </c>
      <c r="B5">
        <v>466</v>
      </c>
      <c r="C5">
        <v>444</v>
      </c>
      <c r="D5">
        <v>530</v>
      </c>
      <c r="E5" s="4">
        <f t="shared" si="0"/>
        <v>0.9527896995708155</v>
      </c>
      <c r="F5" s="3">
        <f t="shared" si="1"/>
        <v>0.83773584905660381</v>
      </c>
    </row>
    <row r="6" spans="1:6" x14ac:dyDescent="0.2">
      <c r="A6" s="1" t="s">
        <v>4</v>
      </c>
      <c r="B6">
        <v>2088</v>
      </c>
      <c r="C6">
        <v>1717</v>
      </c>
      <c r="D6">
        <v>2550</v>
      </c>
      <c r="E6" s="4">
        <f t="shared" si="0"/>
        <v>0.82231800766283525</v>
      </c>
      <c r="F6" s="3">
        <f t="shared" si="1"/>
        <v>0.67333333333333334</v>
      </c>
    </row>
    <row r="7" spans="1:6" x14ac:dyDescent="0.2">
      <c r="A7" s="1" t="s">
        <v>5</v>
      </c>
      <c r="B7">
        <v>2720</v>
      </c>
      <c r="C7">
        <v>3381</v>
      </c>
      <c r="D7">
        <v>3340</v>
      </c>
      <c r="E7" s="2">
        <f t="shared" si="0"/>
        <v>1.2430147058823529</v>
      </c>
      <c r="F7" s="3">
        <f t="shared" si="1"/>
        <v>1.0122754491017965</v>
      </c>
    </row>
    <row r="8" spans="1:6" x14ac:dyDescent="0.2">
      <c r="A8" s="1" t="s">
        <v>6</v>
      </c>
      <c r="B8">
        <v>464</v>
      </c>
      <c r="C8">
        <v>690</v>
      </c>
      <c r="D8">
        <v>714</v>
      </c>
      <c r="E8" s="2">
        <f t="shared" si="0"/>
        <v>1.4870689655172413</v>
      </c>
      <c r="F8" s="3">
        <f t="shared" si="1"/>
        <v>0.96638655462184875</v>
      </c>
    </row>
    <row r="9" spans="1:6" x14ac:dyDescent="0.2">
      <c r="A9" s="1" t="s">
        <v>8</v>
      </c>
      <c r="B9">
        <v>1452</v>
      </c>
      <c r="C9">
        <v>1483</v>
      </c>
      <c r="D9">
        <v>1460</v>
      </c>
      <c r="E9" s="2">
        <f t="shared" si="0"/>
        <v>1.0213498622589532</v>
      </c>
      <c r="F9" s="3">
        <f t="shared" si="1"/>
        <v>1.0157534246575342</v>
      </c>
    </row>
    <row r="10" spans="1:6" x14ac:dyDescent="0.2">
      <c r="A10" s="1" t="s">
        <v>9</v>
      </c>
      <c r="B10">
        <v>56</v>
      </c>
      <c r="C10">
        <v>65</v>
      </c>
      <c r="D10" t="s">
        <v>14</v>
      </c>
      <c r="E10" s="2">
        <f t="shared" si="0"/>
        <v>1.1607142857142858</v>
      </c>
      <c r="F10" s="3" t="str">
        <f>IF(ISNUMBER(D10),C10/D10,"")</f>
        <v/>
      </c>
    </row>
    <row r="11" spans="1:6" x14ac:dyDescent="0.2">
      <c r="A11" s="1" t="s">
        <v>10</v>
      </c>
      <c r="B11">
        <f>SUM(B3:B10)</f>
        <v>7708</v>
      </c>
      <c r="C11">
        <f>SUM(C3:C10)</f>
        <v>8454</v>
      </c>
      <c r="D11">
        <f>SUM(D3:D10)</f>
        <v>9389</v>
      </c>
      <c r="E11" s="5">
        <f t="shared" si="0"/>
        <v>1.0967825635703166</v>
      </c>
      <c r="F11" s="3">
        <f t="shared" si="1"/>
        <v>0.90041537969964858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Araujo Medina</dc:creator>
  <cp:lastModifiedBy>Christian Araujo Medina</cp:lastModifiedBy>
  <dcterms:created xsi:type="dcterms:W3CDTF">2026-07-27T22:19:53Z</dcterms:created>
  <dcterms:modified xsi:type="dcterms:W3CDTF">2026-07-28T15:55:13Z</dcterms:modified>
</cp:coreProperties>
</file>